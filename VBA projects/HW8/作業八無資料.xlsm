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工作表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2" i="1" l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B12" i="1" l="1"/>
  <c r="B10" i="1"/>
  <c r="B6" i="1"/>
  <c r="B8" i="1" s="1"/>
</calcChain>
</file>

<file path=xl/sharedStrings.xml><?xml version="1.0" encoding="utf-8"?>
<sst xmlns="http://schemas.openxmlformats.org/spreadsheetml/2006/main" count="5" uniqueCount="5">
  <si>
    <t>步數加總</t>
    <phoneticPr fontId="1" type="noConversion"/>
  </si>
  <si>
    <t>平均步數</t>
    <phoneticPr fontId="1" type="noConversion"/>
  </si>
  <si>
    <t>邊</t>
    <phoneticPr fontId="1" type="noConversion"/>
  </si>
  <si>
    <t>角</t>
    <phoneticPr fontId="1" type="noConversion"/>
  </si>
  <si>
    <t>分布圖資料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</si>
</sst>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/>
              <a:t>分布圖</a:t>
            </a:r>
            <a:endParaRPr lang="en-US" altLang="zh-TW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工作表1!$N$4:$N$22</c:f>
              <c:numCache>
                <c:formatCode>General</c:formatCode>
                <c:ptCount val="19"/>
                <c:pt idx="0">
                  <c:v>-9</c:v>
                </c:pt>
                <c:pt idx="1">
                  <c:v>-8</c:v>
                </c:pt>
                <c:pt idx="2">
                  <c:v>-7</c:v>
                </c:pt>
                <c:pt idx="3">
                  <c:v>-6</c:v>
                </c:pt>
                <c:pt idx="4">
                  <c:v>-5</c:v>
                </c:pt>
                <c:pt idx="5">
                  <c:v>-4</c:v>
                </c:pt>
                <c:pt idx="6">
                  <c:v>-3</c:v>
                </c:pt>
                <c:pt idx="7">
                  <c:v>-2</c:v>
                </c:pt>
                <c:pt idx="8">
                  <c:v>-1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9</c:v>
                </c:pt>
              </c:numCache>
            </c:numRef>
          </c:cat>
          <c:val>
            <c:numRef>
              <c:f>工作表1!$O$4:$O$22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E0-4247-9AE1-838839498B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4480368"/>
        <c:axId val="1124482448"/>
      </c:barChart>
      <c:catAx>
        <c:axId val="1124480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124482448"/>
        <c:crosses val="autoZero"/>
        <c:auto val="1"/>
        <c:lblAlgn val="ctr"/>
        <c:lblOffset val="100"/>
        <c:noMultiLvlLbl val="0"/>
      </c:catAx>
      <c:valAx>
        <c:axId val="112448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124480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581025</xdr:colOff>
      <xdr:row>4</xdr:row>
      <xdr:rowOff>133350</xdr:rowOff>
    </xdr:from>
    <xdr:to>
      <xdr:col>23</xdr:col>
      <xdr:colOff>276225</xdr:colOff>
      <xdr:row>18</xdr:row>
      <xdr:rowOff>76200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B3:O22"/>
  <sheetViews>
    <sheetView tabSelected="1" workbookViewId="0">
      <selection activeCell="J7" sqref="J7"/>
    </sheetView>
  </sheetViews>
  <sheetFormatPr defaultRowHeight="15.75" x14ac:dyDescent="0.25"/>
  <cols>
    <col min="2" max="2" width="10.7109375" bestFit="1" customWidth="1"/>
    <col min="10" max="10" width="12.28515625" bestFit="1" customWidth="1"/>
  </cols>
  <sheetData>
    <row r="3" spans="2:15" x14ac:dyDescent="0.25">
      <c r="D3" s="1"/>
      <c r="E3" s="1"/>
      <c r="G3" s="1"/>
      <c r="H3" s="1"/>
      <c r="J3" s="1"/>
      <c r="K3" s="1"/>
      <c r="N3" s="1" t="s">
        <v>4</v>
      </c>
      <c r="O3" s="1"/>
    </row>
    <row r="4" spans="2:15" x14ac:dyDescent="0.25">
      <c r="N4">
        <v>-9</v>
      </c>
      <c r="O4">
        <f>COUNTIF(I:I,-9)</f>
        <v>0</v>
      </c>
    </row>
    <row r="5" spans="2:15" x14ac:dyDescent="0.25">
      <c r="B5" t="s">
        <v>0</v>
      </c>
      <c r="N5">
        <v>-8</v>
      </c>
      <c r="O5">
        <f>COUNTIF(I:I,-8)</f>
        <v>0</v>
      </c>
    </row>
    <row r="6" spans="2:15" x14ac:dyDescent="0.25">
      <c r="B6">
        <f>SUM(F5:F1000004)</f>
        <v>0</v>
      </c>
      <c r="N6">
        <v>-7</v>
      </c>
      <c r="O6">
        <f>COUNTIF(I:I,-7)</f>
        <v>0</v>
      </c>
    </row>
    <row r="7" spans="2:15" x14ac:dyDescent="0.25">
      <c r="B7" t="s">
        <v>1</v>
      </c>
      <c r="N7">
        <v>-6</v>
      </c>
      <c r="O7">
        <f>COUNTIF(I:I,-6)</f>
        <v>0</v>
      </c>
    </row>
    <row r="8" spans="2:15" x14ac:dyDescent="0.25">
      <c r="B8">
        <f>B6/1000000</f>
        <v>0</v>
      </c>
      <c r="N8">
        <v>-5</v>
      </c>
      <c r="O8">
        <f>COUNTIF(I:I,-5)</f>
        <v>0</v>
      </c>
    </row>
    <row r="9" spans="2:15" x14ac:dyDescent="0.25">
      <c r="B9" t="s">
        <v>2</v>
      </c>
      <c r="N9">
        <v>-4</v>
      </c>
      <c r="O9">
        <f>COUNTIF(I:I,-4)</f>
        <v>0</v>
      </c>
    </row>
    <row r="10" spans="2:15" x14ac:dyDescent="0.25">
      <c r="B10">
        <f>COUNTIF(K5:K1000004,"邊")</f>
        <v>0</v>
      </c>
      <c r="N10">
        <v>-3</v>
      </c>
      <c r="O10">
        <f>COUNTIF(I:I,-3)</f>
        <v>0</v>
      </c>
    </row>
    <row r="11" spans="2:15" x14ac:dyDescent="0.25">
      <c r="B11" t="s">
        <v>3</v>
      </c>
      <c r="N11">
        <v>-2</v>
      </c>
      <c r="O11">
        <f>COUNTIF(I:I,-2)</f>
        <v>0</v>
      </c>
    </row>
    <row r="12" spans="2:15" x14ac:dyDescent="0.25">
      <c r="B12">
        <f>COUNTIF(K5:K1000006,"角")</f>
        <v>0</v>
      </c>
      <c r="N12">
        <v>-1</v>
      </c>
      <c r="O12">
        <f>COUNTIF(I:I,-1)</f>
        <v>0</v>
      </c>
    </row>
    <row r="13" spans="2:15" x14ac:dyDescent="0.25">
      <c r="N13">
        <v>0</v>
      </c>
      <c r="O13">
        <f>COUNTIF(I:I,0)</f>
        <v>0</v>
      </c>
    </row>
    <row r="14" spans="2:15" x14ac:dyDescent="0.25">
      <c r="N14">
        <v>1</v>
      </c>
      <c r="O14">
        <f>COUNTIF(I:I,1)</f>
        <v>0</v>
      </c>
    </row>
    <row r="15" spans="2:15" x14ac:dyDescent="0.25">
      <c r="N15">
        <v>2</v>
      </c>
      <c r="O15">
        <f>COUNTIF(I:I,2)</f>
        <v>0</v>
      </c>
    </row>
    <row r="16" spans="2:15" x14ac:dyDescent="0.25">
      <c r="N16">
        <v>3</v>
      </c>
      <c r="O16">
        <f>COUNTIF(I:I,3)</f>
        <v>0</v>
      </c>
    </row>
    <row r="17" spans="14:15" x14ac:dyDescent="0.25">
      <c r="N17">
        <v>4</v>
      </c>
      <c r="O17">
        <f>COUNTIF(I:I,4)</f>
        <v>0</v>
      </c>
    </row>
    <row r="18" spans="14:15" x14ac:dyDescent="0.25">
      <c r="N18">
        <v>5</v>
      </c>
      <c r="O18">
        <f>COUNTIF(I:I,5)</f>
        <v>0</v>
      </c>
    </row>
    <row r="19" spans="14:15" x14ac:dyDescent="0.25">
      <c r="N19">
        <v>6</v>
      </c>
      <c r="O19">
        <f>COUNTIF(I:I,6)</f>
        <v>0</v>
      </c>
    </row>
    <row r="20" spans="14:15" x14ac:dyDescent="0.25">
      <c r="N20">
        <v>7</v>
      </c>
      <c r="O20">
        <f>COUNTIF(I:I,7)</f>
        <v>0</v>
      </c>
    </row>
    <row r="21" spans="14:15" x14ac:dyDescent="0.25">
      <c r="N21">
        <v>8</v>
      </c>
      <c r="O21">
        <f>COUNTIF(I:I,8)</f>
        <v>0</v>
      </c>
    </row>
    <row r="22" spans="14:15" x14ac:dyDescent="0.25">
      <c r="N22">
        <v>9</v>
      </c>
      <c r="O22">
        <f>COUNTIF(I:I,9)</f>
        <v>0</v>
      </c>
    </row>
  </sheetData>
  <mergeCells count="4">
    <mergeCell ref="D3:E3"/>
    <mergeCell ref="G3:H3"/>
    <mergeCell ref="J3:K3"/>
    <mergeCell ref="N3:O3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2017-05-09T06:05:07Z</dcterms:modified>
</cp:coreProperties>
</file>